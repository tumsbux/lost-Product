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ount Structure" sheetId="2" state="visible" r:id="rId2"/>
    <sheet xmlns:r="http://schemas.openxmlformats.org/officeDocument/2006/relationships" name="GP Calculator" sheetId="3" state="visible" r:id="rId3"/>
    <sheet xmlns:r="http://schemas.openxmlformats.org/officeDocument/2006/relationships" name="Power BI DAX" sheetId="4" state="visible" r:id="rId4"/>
    <sheet xmlns:r="http://schemas.openxmlformats.org/officeDocument/2006/relationships" name="SQL Reference" sheetId="5" state="visible" r:id="rId5"/>
    <sheet xmlns:r="http://schemas.openxmlformats.org/officeDocument/2006/relationships" name="Changelog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sz val="10"/>
    </font>
    <font>
      <name val="Arial"/>
      <charset val="1"/>
      <family val="0"/>
      <b val="1"/>
      <i val="1"/>
      <color rgb="FFC00000"/>
      <sz val="11"/>
    </font>
    <font>
      <name val="Arial"/>
      <charset val="1"/>
      <family val="0"/>
      <b val="1"/>
      <sz val="12"/>
    </font>
    <font>
      <name val="Consolas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i val="1"/>
      <color rgb="FFC00000"/>
      <sz val="10"/>
    </font>
    <font>
      <color rgb="00FF0000"/>
    </font>
    <font>
      <b val="1"/>
      <color rgb="00006600"/>
      <sz val="12"/>
    </font>
    <font>
      <b val="1"/>
      <color rgb="00FFFFFF"/>
    </font>
    <font>
      <b val="1"/>
      <color rgb="00006600"/>
    </font>
    <font>
      <b val="1"/>
      <color rgb="00FF0000"/>
      <sz val="11"/>
    </font>
    <font>
      <color rgb="00006600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  <fill>
      <patternFill patternType="solid">
        <fgColor rgb="FFD9E1F2"/>
        <bgColor rgb="FFC6EFCE"/>
      </patternFill>
    </fill>
    <fill>
      <patternFill patternType="solid">
        <fgColor rgb="00336699"/>
      </patternFill>
    </fill>
    <fill>
      <patternFill patternType="solid">
        <fgColor rgb="00E6FFE6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4" fontId="11" fillId="0" borderId="0" applyAlignment="1" pivotButton="0" quotePrefix="0" xfId="0">
      <alignment horizontal="general" vertical="bottom"/>
    </xf>
    <xf numFmtId="4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6" borderId="0" pivotButton="0" quotePrefix="0" xfId="0"/>
    <xf numFmtId="0" fontId="16" fillId="7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top" wrapText="1"/>
    </xf>
    <xf numFmtId="0" fontId="17" fillId="0" borderId="0" pivotButton="0" quotePrefix="0" xfId="0"/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4" fontId="11" fillId="0" borderId="0" applyAlignment="1" pivotButton="0" quotePrefix="0" xfId="0">
      <alignment horizontal="general" vertical="bottom"/>
    </xf>
    <xf numFmtId="4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18" min="1" max="1"/>
    <col width="30" customWidth="1" style="18" min="2" max="2"/>
    <col width="38" customWidth="1" style="18" min="3" max="3"/>
    <col width="14" customWidth="1" style="18" min="4" max="4"/>
    <col width="50" customWidth="1" style="18" min="5" max="5"/>
    <col width="28" customWidth="1" style="18" min="6" max="6"/>
  </cols>
  <sheetData>
    <row r="1" ht="21.75" customHeight="1" s="19">
      <c r="A1" s="20" t="inlineStr">
        <is>
          <t>Column Reference สำหรับ Dashboard ทั้งระบบ</t>
        </is>
      </c>
    </row>
    <row r="2" ht="15.75" customHeight="1" s="19">
      <c r="A2" s="21" t="inlineStr">
        <is>
          <t>อัปเดต 2026-06-10 — verified via probe queries</t>
        </is>
      </c>
    </row>
    <row r="3"/>
    <row r="4" ht="27.75" customHeight="1" s="19">
      <c r="A4" s="22" t="inlineStr">
        <is>
          <t>Metric</t>
        </is>
      </c>
      <c r="B4" s="22" t="inlineStr">
        <is>
          <t>Table</t>
        </is>
      </c>
      <c r="C4" s="22" t="inlineStr">
        <is>
          <t>Column</t>
        </is>
      </c>
      <c r="D4" s="22" t="inlineStr">
        <is>
          <t>Type</t>
        </is>
      </c>
      <c r="E4" s="22" t="inlineStr">
        <is>
          <t>Note</t>
        </is>
      </c>
      <c r="F4" s="22" t="inlineStr">
        <is>
          <t>Source verified</t>
        </is>
      </c>
    </row>
    <row r="5" ht="31.5" customHeight="1" s="19">
      <c r="A5" s="23" t="inlineStr">
        <is>
          <t>ยอดขาย Gross (per line)</t>
        </is>
      </c>
      <c r="B5" s="23" t="inlineStr">
        <is>
          <t>data-lake.bld_acc_lake</t>
        </is>
      </c>
      <c r="C5" s="23" t="inlineStr">
        <is>
          <t>solineamt</t>
        </is>
      </c>
      <c r="D5" s="23" t="inlineStr">
        <is>
          <t>decimal</t>
        </is>
      </c>
      <c r="E5" s="23" t="inlineStr">
        <is>
          <t>Line total — ยอดขายต่อบรรทัด (ก่อนหัก discount)</t>
        </is>
      </c>
      <c r="F5" s="23" t="inlineStr">
        <is>
          <t>Architecture.md L426</t>
        </is>
      </c>
    </row>
    <row r="6" ht="31.5" customHeight="1" s="19">
      <c r="A6" s="23" t="inlineStr">
        <is>
          <t>ยอดขาย Net (line, fact)</t>
        </is>
      </c>
      <c r="B6" s="23" t="inlineStr">
        <is>
          <t>data-service.fact_sales</t>
        </is>
      </c>
      <c r="C6" s="23" t="inlineStr">
        <is>
          <t>net_sales_amt</t>
        </is>
      </c>
      <c r="D6" s="23" t="inlineStr">
        <is>
          <t>decimal</t>
        </is>
      </c>
      <c r="E6" s="23" t="inlineStr">
        <is>
          <t>หักส่วนลดครบแล้ว 2 ชั้น: (1) sopricdisc ต่อชิ้น (2) prorated_discount บิล — VERIFIED 2026-06-17</t>
        </is>
      </c>
      <c r="F6" s="23" t="inlineStr">
        <is>
          <t>Architecture.md L136</t>
        </is>
      </c>
    </row>
    <row r="7" ht="31.5" customHeight="1" s="19">
      <c r="A7" s="23" t="inlineStr">
        <is>
          <t>จำนวนหน่วยขาย</t>
        </is>
      </c>
      <c r="B7" s="23" t="inlineStr">
        <is>
          <t>data-lake.bld_acc_lake</t>
        </is>
      </c>
      <c r="C7" s="23" t="inlineStr">
        <is>
          <t>soqty</t>
        </is>
      </c>
      <c r="D7" s="23" t="inlineStr">
        <is>
          <t>decimal</t>
        </is>
      </c>
      <c r="E7" s="23" t="inlineStr">
        <is>
          <t>Quantity sold per line</t>
        </is>
      </c>
      <c r="F7" s="23" t="inlineStr">
        <is>
          <t>Architecture.md L426</t>
        </is>
      </c>
    </row>
    <row r="8" ht="31.5" customHeight="1" s="19">
      <c r="A8" s="23" t="inlineStr">
        <is>
          <t>ราคาต่อหน่วย</t>
        </is>
      </c>
      <c r="B8" s="23" t="inlineStr">
        <is>
          <t>data-lake.bld_acc_lake</t>
        </is>
      </c>
      <c r="C8" s="23" t="inlineStr">
        <is>
          <t>sopricunit</t>
        </is>
      </c>
      <c r="D8" s="23" t="inlineStr">
        <is>
          <t>decimal(8,2)</t>
        </is>
      </c>
      <c r="E8" s="23" t="inlineStr">
        <is>
          <t>Unit price ณ ตอนขาย</t>
        </is>
      </c>
      <c r="F8" s="23" t="inlineStr">
        <is>
          <t>Probe 2026-06-10</t>
        </is>
      </c>
    </row>
    <row r="9" ht="31.5" customHeight="1" s="19">
      <c r="A9" s="24" t="inlineStr">
        <is>
          <t>❌ (ซ้ำซ้อน) net_sales_amt หักแล้ว</t>
        </is>
      </c>
      <c r="B9" s="23" t="inlineStr">
        <is>
          <t>fact_sales / bld_acc + JOIN blh</t>
        </is>
      </c>
      <c r="C9" s="23" t="inlineStr">
        <is>
          <t>net_sales_amt − allocated_disc</t>
        </is>
      </c>
      <c r="D9" s="23" t="inlineStr">
        <is>
          <t>calc</t>
        </is>
      </c>
      <c r="E9" s="23" t="inlineStr">
        <is>
          <t>net_sales_amt = solineamt − prorated_discount → หักครบแล้ว ไม่ต้องหักเพิ่ม — VERIFIED 2026-06-17</t>
        </is>
      </c>
      <c r="F9" s="23" t="inlineStr">
        <is>
          <t>See "Discount Allocation"</t>
        </is>
      </c>
    </row>
    <row r="10" ht="31.5" customHeight="1" s="19">
      <c r="A10" s="23" t="inlineStr">
        <is>
          <t>ส่วนลด TOTAL (bill)</t>
        </is>
      </c>
      <c r="B10" s="23" t="inlineStr">
        <is>
          <t>MYPOS2018_CENTER.blh_acc</t>
        </is>
      </c>
      <c r="C10" s="23" t="inlineStr">
        <is>
          <t>sodisc</t>
        </is>
      </c>
      <c r="D10" s="23" t="inlineStr">
        <is>
          <t>decimal(8,2)</t>
        </is>
      </c>
      <c r="E10" s="25" t="inlineStr">
        <is>
          <t>CANONICAL — rollup ของ 4 channels (verified 100%)</t>
        </is>
      </c>
      <c r="F10" s="23" t="inlineStr">
        <is>
          <t>VERIFIED 1722/1722</t>
        </is>
      </c>
    </row>
    <row r="11" ht="31.5" customHeight="1" s="19">
      <c r="A11" s="23" t="inlineStr">
        <is>
          <t>ส่วนลด — Bill channel</t>
        </is>
      </c>
      <c r="B11" s="23" t="inlineStr">
        <is>
          <t>MYPOS2018_CENTER.blh_acc</t>
        </is>
      </c>
      <c r="C11" s="23" t="inlineStr">
        <is>
          <t>sodisc_bill</t>
        </is>
      </c>
      <c r="D11" s="23" t="inlineStr">
        <is>
          <t>decimal(8,2)</t>
        </is>
      </c>
      <c r="E11" s="23" t="inlineStr">
        <is>
          <t>Manual + baht-fixed bill discount</t>
        </is>
      </c>
      <c r="F11" s="23" t="inlineStr">
        <is>
          <t>Probe 2026-06-10</t>
        </is>
      </c>
    </row>
    <row r="12" ht="31.5" customHeight="1" s="19">
      <c r="A12" s="23" t="inlineStr">
        <is>
          <t>ส่วนลด — Coupon channel</t>
        </is>
      </c>
      <c r="B12" s="23" t="inlineStr">
        <is>
          <t>MYPOS2018_CENTER.blh_acc</t>
        </is>
      </c>
      <c r="C12" s="23" t="inlineStr">
        <is>
          <t>sodisc_coupon</t>
        </is>
      </c>
      <c r="D12" s="23" t="inlineStr">
        <is>
          <t>decimal(8,2)</t>
        </is>
      </c>
      <c r="E12" s="23" t="inlineStr">
        <is>
          <t>Coupon discount</t>
        </is>
      </c>
      <c r="F12" s="23" t="inlineStr">
        <is>
          <t>Probe 2026-06-10</t>
        </is>
      </c>
    </row>
    <row r="13" ht="31.5" customHeight="1" s="19">
      <c r="A13" s="23" t="inlineStr">
        <is>
          <t>ส่วนลด — Percent channel</t>
        </is>
      </c>
      <c r="B13" s="23" t="inlineStr">
        <is>
          <t>MYPOS2018_CENTER.blh_acc</t>
        </is>
      </c>
      <c r="C13" s="23" t="inlineStr">
        <is>
          <t>sodisc_perc</t>
        </is>
      </c>
      <c r="D13" s="23" t="inlineStr">
        <is>
          <t>decimal(8,2)</t>
        </is>
      </c>
      <c r="E13" s="23" t="inlineStr">
        <is>
          <t>% discount standalone</t>
        </is>
      </c>
      <c r="F13" s="23" t="inlineStr">
        <is>
          <t>Probe 2026-06-10</t>
        </is>
      </c>
    </row>
    <row r="14" ht="31.5" customHeight="1" s="19">
      <c r="A14" s="23" t="inlineStr">
        <is>
          <t>ส่วนลด — Score channel</t>
        </is>
      </c>
      <c r="B14" s="23" t="inlineStr">
        <is>
          <t>MYPOS2018_CENTER.blh_acc</t>
        </is>
      </c>
      <c r="C14" s="23" t="inlineStr">
        <is>
          <t>sodisc_score</t>
        </is>
      </c>
      <c r="D14" s="23" t="inlineStr">
        <is>
          <t>decimal(8,2)</t>
        </is>
      </c>
      <c r="E14" s="23" t="inlineStr">
        <is>
          <t>Loyalty score discount</t>
        </is>
      </c>
      <c r="F14" s="23" t="inlineStr">
        <is>
          <t>Probe 2026-06-10</t>
        </is>
      </c>
    </row>
    <row r="15" ht="31.5" customHeight="1" s="19">
      <c r="A15" s="26" t="inlineStr">
        <is>
          <t>❌ ห้ามใช้ sodisc_bath</t>
        </is>
      </c>
      <c r="B15" s="26" t="inlineStr">
        <is>
          <t>MYPOS2018_CENTER.blh_acc</t>
        </is>
      </c>
      <c r="C15" s="26" t="inlineStr">
        <is>
          <t>sodisc_bath</t>
        </is>
      </c>
      <c r="D15" s="26" t="inlineStr">
        <is>
          <t>decimal(8,2)</t>
        </is>
      </c>
      <c r="E15" s="26" t="inlineStr">
        <is>
          <t>Subset ของ sodisc_bill → double-count ถ้ารวม</t>
        </is>
      </c>
      <c r="F15" s="26" t="inlineStr">
        <is>
          <t>VERIFIED 100%</t>
        </is>
      </c>
    </row>
    <row r="16" ht="31.5" customHeight="1" s="19">
      <c r="A16" s="23" t="inlineStr">
        <is>
          <t>Cost ต่อ line</t>
        </is>
      </c>
      <c r="B16" s="23" t="inlineStr">
        <is>
          <t>data-service.fact_sales</t>
        </is>
      </c>
      <c r="C16" s="23" t="inlineStr">
        <is>
          <t>total_cost</t>
        </is>
      </c>
      <c r="D16" s="23" t="inlineStr">
        <is>
          <t>decimal</t>
        </is>
      </c>
      <c r="E16" s="23" t="inlineStr">
        <is>
          <t>Standard — ใช้ใน update_dashboard.py</t>
        </is>
      </c>
      <c r="F16" s="23" t="inlineStr">
        <is>
          <t>Architecture.md L162</t>
        </is>
      </c>
    </row>
    <row r="17" ht="31.5" customHeight="1" s="19">
      <c r="A17" s="23" t="inlineStr">
        <is>
          <t>Cost master (per barcode)</t>
        </is>
      </c>
      <c r="B17" s="23" t="inlineStr">
        <is>
          <t>MYWMS2023_CENTER.item_cost</t>
        </is>
      </c>
      <c r="C17" s="23" t="inlineStr">
        <is>
          <t>cost_mni / cost_tj</t>
        </is>
      </c>
      <c r="D17" s="23" t="inlineStr">
        <is>
          <t>decimal</t>
        </is>
      </c>
      <c r="E17" s="23" t="inlineStr">
        <is>
          <t>Per legal entity (MNI / TJ) + pack size</t>
        </is>
      </c>
      <c r="F17" s="23" t="inlineStr">
        <is>
          <t>Architecture.md L366</t>
        </is>
      </c>
    </row>
    <row r="18" ht="31.5" customHeight="1" s="19">
      <c r="A18" s="23" t="inlineStr">
        <is>
          <t>GP Amount (line)</t>
        </is>
      </c>
      <c r="B18" s="23" t="inlineStr">
        <is>
          <t>(derived)</t>
        </is>
      </c>
      <c r="C18" s="23" t="inlineStr">
        <is>
          <t>net_sales_amt − total_cost</t>
        </is>
      </c>
      <c r="D18" s="23" t="inlineStr">
        <is>
          <t>formula</t>
        </is>
      </c>
      <c r="E18" s="23" t="inlineStr">
        <is>
          <t>✅ CORRECT — net_sales_amt หัก disc ครบแล้ว สูตรนี้ = สูตรสุดท้าย — VERIFIED 2026-06-17</t>
        </is>
      </c>
      <c r="F18" s="23" t="inlineStr">
        <is>
          <t>Architecture.md L162</t>
        </is>
      </c>
    </row>
    <row r="19" ht="31.5" customHeight="1" s="19">
      <c r="A19" s="24" t="inlineStr">
        <is>
          <t>GP Amount (with disc)</t>
        </is>
      </c>
      <c r="B19" s="23" t="inlineStr">
        <is>
          <t>(derived)</t>
        </is>
      </c>
      <c r="C19" s="23" t="inlineStr">
        <is>
          <t>(net_sales − allocated_disc) − total_cost</t>
        </is>
      </c>
      <c r="D19" s="23" t="inlineStr">
        <is>
          <t>formula</t>
        </is>
      </c>
      <c r="E19" s="23" t="inlineStr">
        <is>
          <t>❌ REDUNDANT — net_sales_amt หัก discount ครบแล้ว ใช้สูตรเดิม net_sales_amt − total_cost พอ — VERIFIED 2026-06-17</t>
        </is>
      </c>
      <c r="F19" s="23" t="inlineStr">
        <is>
          <t>NEW — recommended</t>
        </is>
      </c>
    </row>
    <row r="20" ht="31.5" customHeight="1" s="19">
      <c r="A20" s="23" t="inlineStr">
        <is>
          <t>GP %</t>
        </is>
      </c>
      <c r="B20" s="23" t="inlineStr">
        <is>
          <t>(derived)</t>
        </is>
      </c>
      <c r="C20" s="23" t="inlineStr">
        <is>
          <t>GP / net_sales × 100</t>
        </is>
      </c>
      <c r="D20" s="23" t="inlineStr">
        <is>
          <t>formula</t>
        </is>
      </c>
      <c r="E20" s="23" t="inlineStr">
        <is>
          <t>Default 1 decimal: 0.0%</t>
        </is>
      </c>
      <c r="F20" s="23" t="inlineStr">
        <is>
          <t>Design.md L114</t>
        </is>
      </c>
    </row>
    <row r="21" ht="31.5" customHeight="1" s="19">
      <c r="A21" s="23" t="inlineStr">
        <is>
          <t>Bill JOIN key</t>
        </is>
      </c>
      <c r="B21" s="23" t="inlineStr">
        <is>
          <t>—</t>
        </is>
      </c>
      <c r="C21" s="23" t="inlineStr">
        <is>
          <t>sono</t>
        </is>
      </c>
      <c r="D21" s="23" t="inlineStr">
        <is>
          <t>varchar</t>
        </is>
      </c>
      <c r="E21" s="23" t="inlineStr">
        <is>
          <t>JOIN bld_acc ↔ blh_acc on sono</t>
        </is>
      </c>
      <c r="F21" s="23" t="inlineStr">
        <is>
          <t>Architecture.md L243</t>
        </is>
      </c>
    </row>
    <row r="22" ht="31.5" customHeight="1" s="19">
      <c r="A22" s="23" t="inlineStr">
        <is>
          <t>Store JOIN key</t>
        </is>
      </c>
      <c r="B22" s="23" t="inlineStr">
        <is>
          <t>MYPOS2018_CENTER.blh_acc</t>
        </is>
      </c>
      <c r="C22" s="23" t="inlineStr">
        <is>
          <t>sotowhs</t>
        </is>
      </c>
      <c r="D22" s="23" t="inlineStr">
        <is>
          <t>varchar(3)</t>
        </is>
      </c>
      <c r="E22" s="23" t="inlineStr">
        <is>
          <t>3-digit padded — matches dim_branch.code</t>
        </is>
      </c>
      <c r="F22" s="23" t="inlineStr">
        <is>
          <t>Decisions.md 2026-06-05</t>
        </is>
      </c>
    </row>
    <row r="23" ht="31.5" customHeight="1" s="19">
      <c r="A23" s="23" t="inlineStr">
        <is>
          <t>Date filter</t>
        </is>
      </c>
      <c r="B23" s="23" t="inlineStr">
        <is>
          <t>MYPOS2018_CENTER.blh_acc</t>
        </is>
      </c>
      <c r="C23" s="23" t="inlineStr">
        <is>
          <t>sodate</t>
        </is>
      </c>
      <c r="D23" s="23" t="inlineStr">
        <is>
          <t>datetime</t>
        </is>
      </c>
      <c r="E23" s="23" t="inlineStr">
        <is>
          <t>ใช้ YEAR(sodate) / DATE(sodate) filter</t>
        </is>
      </c>
      <c r="F23" s="23" t="inlineStr">
        <is>
          <t>Architecture.md L243</t>
        </is>
      </c>
    </row>
    <row r="24" ht="31.5" customHeight="1" s="19">
      <c r="A24" s="23" t="inlineStr">
        <is>
          <t>Line type filter</t>
        </is>
      </c>
      <c r="B24" s="23" t="inlineStr">
        <is>
          <t>data-lake.bld_acc_lake</t>
        </is>
      </c>
      <c r="C24" s="23" t="inlineStr">
        <is>
          <t>solinetype</t>
        </is>
      </c>
      <c r="D24" s="23" t="inlineStr">
        <is>
          <t>char(1)</t>
        </is>
      </c>
      <c r="E24" s="23" t="inlineStr">
        <is>
          <t>NOT IN ('C','R') — exclude Cancel/Return</t>
        </is>
      </c>
      <c r="F24" s="23" t="inlineStr">
        <is>
          <t>Architecture.md L178</t>
        </is>
      </c>
    </row>
    <row r="26">
      <c r="A26" s="27" t="inlineStr">
        <is>
          <t>🔗 Verified Discount Chain (2026-06-17)</t>
        </is>
      </c>
    </row>
    <row r="27">
      <c r="A27" s="28" t="inlineStr">
        <is>
          <t>Step</t>
        </is>
      </c>
      <c r="B27" s="28" t="inlineStr">
        <is>
          <t>Column</t>
        </is>
      </c>
      <c r="C27" s="28" t="inlineStr">
        <is>
          <t>Formula</t>
        </is>
      </c>
      <c r="D27" s="28" t="inlineStr">
        <is>
          <t>MTD Jun 1-16</t>
        </is>
      </c>
      <c r="E27" s="28" t="inlineStr">
        <is>
          <t>Note</t>
        </is>
      </c>
    </row>
    <row r="28">
      <c r="A28" t="inlineStr">
        <is>
          <t>1. ราคาเต็ม</t>
        </is>
      </c>
      <c r="B28" t="inlineStr">
        <is>
          <t>sopricamt</t>
        </is>
      </c>
      <c r="C28" t="inlineStr">
        <is>
          <t>soqty × sopricunit</t>
        </is>
      </c>
      <c r="D28" t="inlineStr">
        <is>
          <t>฿73,459,467</t>
        </is>
      </c>
      <c r="E28" t="inlineStr">
        <is>
          <t>ราคาก่อนลด</t>
        </is>
      </c>
    </row>
    <row r="29">
      <c r="A29" t="inlineStr">
        <is>
          <t>2. − ลดต่อชิ้น</t>
        </is>
      </c>
      <c r="B29" t="inlineStr">
        <is>
          <t>soqty × sopricdisc</t>
        </is>
      </c>
      <c r="C29" t="inlineStr">
        <is>
          <t>sopricamt − solineamt</t>
        </is>
      </c>
      <c r="D29" t="inlineStr">
        <is>
          <t>฿1,569,233</t>
        </is>
      </c>
      <c r="E29" t="inlineStr">
        <is>
          <t>โปรฯ ลดราคาสินค้า</t>
        </is>
      </c>
    </row>
    <row r="30">
      <c r="A30" t="inlineStr">
        <is>
          <t>3. = ยอดรายการ</t>
        </is>
      </c>
      <c r="B30" t="inlineStr">
        <is>
          <t>solineamt</t>
        </is>
      </c>
      <c r="C30" t="inlineStr">
        <is>
          <t>soqty × (sopricunit − sopricdisc)</t>
        </is>
      </c>
      <c r="D30" t="inlineStr">
        <is>
          <t>฿71,890,234</t>
        </is>
      </c>
      <c r="E30" t="inlineStr">
        <is>
          <t>VERIFIED 100%</t>
        </is>
      </c>
    </row>
    <row r="31">
      <c r="A31" t="inlineStr">
        <is>
          <t>4. − ลดระดับบิล</t>
        </is>
      </c>
      <c r="B31" t="inlineStr">
        <is>
          <t>prorated_discount</t>
        </is>
      </c>
      <c r="C31" t="inlineStr">
        <is>
          <t>sodisc allocate ตาม solineamt</t>
        </is>
      </c>
      <c r="D31" t="inlineStr">
        <is>
          <t>฿172,547</t>
        </is>
      </c>
      <c r="E31" t="inlineStr">
        <is>
          <t>bill discount (4 channels)</t>
        </is>
      </c>
    </row>
    <row r="32">
      <c r="A32" s="29" t="inlineStr">
        <is>
          <t>5. = ยอดสุทธิ</t>
        </is>
      </c>
      <c r="B32" s="29" t="inlineStr">
        <is>
          <t>net_sales_amt</t>
        </is>
      </c>
      <c r="C32" s="29" t="inlineStr">
        <is>
          <t>solineamt − prorated_discount</t>
        </is>
      </c>
      <c r="D32" s="29" t="inlineStr">
        <is>
          <t>฿71,717,687</t>
        </is>
      </c>
      <c r="E32" s="29" t="inlineStr">
        <is>
          <t>VERIFIED 100% — ใช้ตัวนี้คิด GP</t>
        </is>
      </c>
    </row>
    <row r="33">
      <c r="A33" t="inlineStr">
        <is>
          <t>6. − ต้นทุน</t>
        </is>
      </c>
      <c r="B33" t="inlineStr">
        <is>
          <t>total_cost</t>
        </is>
      </c>
      <c r="C33" t="inlineStr">
        <is>
          <t>COGS จาก WMS</t>
        </is>
      </c>
      <c r="D33" t="inlineStr">
        <is>
          <t>฿47,380,037</t>
        </is>
      </c>
      <c r="E33" t="inlineStr"/>
    </row>
    <row r="34">
      <c r="A34" s="29" t="inlineStr">
        <is>
          <t>7. = GP</t>
        </is>
      </c>
      <c r="B34" s="29" t="inlineStr">
        <is>
          <t>(derived)</t>
        </is>
      </c>
      <c r="C34" s="29" t="inlineStr">
        <is>
          <t>net_sales_amt − total_cost</t>
        </is>
      </c>
      <c r="D34" s="29" t="inlineStr">
        <is>
          <t>฿24,337,650</t>
        </is>
      </c>
      <c r="E34" s="29" t="inlineStr">
        <is>
          <t>GP% = 33.94%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18" min="1" max="1"/>
    <col width="22" customWidth="1" style="18" min="2" max="2"/>
    <col width="38" customWidth="1" style="18" min="3" max="4"/>
    <col width="40" customWidth="1" style="18" min="5" max="5"/>
  </cols>
  <sheetData>
    <row r="1" ht="21.75" customHeight="1" s="19">
      <c r="A1" s="20" t="inlineStr">
        <is>
          <t>ส่วนลด (Discount) — verified structure</t>
        </is>
      </c>
    </row>
    <row r="2" ht="21.75" customHeight="1" s="19">
      <c r="A2" s="30" t="inlineStr">
        <is>
          <t>Formula: sodisc = sodisc_bill + sodisc_coupon + sodisc_perc + sodisc_score   (4 channels — VERIFIED 100%, 1722/1722)</t>
        </is>
      </c>
    </row>
    <row r="4" ht="15" customHeight="1" s="19">
      <c r="A4" s="22" t="inlineStr">
        <is>
          <t>Column</t>
        </is>
      </c>
      <c r="B4" s="22" t="inlineStr">
        <is>
          <t>Channel?</t>
        </is>
      </c>
      <c r="C4" s="22" t="inlineStr">
        <is>
          <t>Meaning</t>
        </is>
      </c>
      <c r="D4" s="22" t="inlineStr">
        <is>
          <t>Promotion mapping (MyPOS engine)</t>
        </is>
      </c>
      <c r="E4" s="22" t="inlineStr">
        <is>
          <t>Note</t>
        </is>
      </c>
    </row>
    <row r="5" ht="31.5" customHeight="1" s="19">
      <c r="A5" s="25" t="inlineStr">
        <is>
          <t>sodisc</t>
        </is>
      </c>
      <c r="B5" s="25" t="inlineStr">
        <is>
          <t>TOTAL (rollup)</t>
        </is>
      </c>
      <c r="C5" s="25" t="inlineStr">
        <is>
          <t>Canonical total discount — ใช้ตัวเดียวพอ</t>
        </is>
      </c>
      <c r="D5" s="25" t="inlineStr">
        <is>
          <t>— (canonical)</t>
        </is>
      </c>
      <c r="E5" s="25" t="inlineStr">
        <is>
          <t>✅ ใช้ใน Power BI: SUM(blh_acc[sodisc])</t>
        </is>
      </c>
    </row>
    <row r="6" ht="31.5" customHeight="1" s="19">
      <c r="A6" s="23" t="inlineStr">
        <is>
          <t>sodisc_bill</t>
        </is>
      </c>
      <c r="B6" s="23" t="inlineStr">
        <is>
          <t>✅ channel</t>
        </is>
      </c>
      <c r="C6" s="23" t="inlineStr">
        <is>
          <t>Bill-level discount (manual + baht-fixed)</t>
        </is>
      </c>
      <c r="D6" s="23" t="inlineStr">
        <is>
          <t>discount_bill_period + cashier override</t>
        </is>
      </c>
      <c r="E6" s="23" t="inlineStr">
        <is>
          <t>Subset = sodisc_bath</t>
        </is>
      </c>
    </row>
    <row r="7" ht="31.5" customHeight="1" s="19">
      <c r="A7" s="23" t="inlineStr">
        <is>
          <t>sodisc_coupon</t>
        </is>
      </c>
      <c r="B7" s="23" t="inlineStr">
        <is>
          <t>✅ channel</t>
        </is>
      </c>
      <c r="C7" s="23" t="inlineStr">
        <is>
          <t>Coupon discount</t>
        </is>
      </c>
      <c r="D7" s="23" t="inlineStr">
        <is>
          <t>coupon / customer_coupon*</t>
        </is>
      </c>
      <c r="E7" s="23" t="inlineStr">
        <is>
          <t>Independent</t>
        </is>
      </c>
    </row>
    <row r="8" ht="31.5" customHeight="1" s="19">
      <c r="A8" s="23" t="inlineStr">
        <is>
          <t>sodisc_perc</t>
        </is>
      </c>
      <c r="B8" s="23" t="inlineStr">
        <is>
          <t>✅ channel</t>
        </is>
      </c>
      <c r="C8" s="23" t="inlineStr">
        <is>
          <t>% discount standalone</t>
        </is>
      </c>
      <c r="D8" s="23" t="inlineStr">
        <is>
          <t>pro_rate (tier rules)</t>
        </is>
      </c>
      <c r="E8" s="23" t="inlineStr">
        <is>
          <t>Independent</t>
        </is>
      </c>
    </row>
    <row r="9" ht="31.5" customHeight="1" s="19">
      <c r="A9" s="23" t="inlineStr">
        <is>
          <t>sodisc_score</t>
        </is>
      </c>
      <c r="B9" s="23" t="inlineStr">
        <is>
          <t>✅ channel</t>
        </is>
      </c>
      <c r="C9" s="23" t="inlineStr">
        <is>
          <t>Loyalty score-redemption discount</t>
        </is>
      </c>
      <c r="D9" s="23" t="inlineStr">
        <is>
          <t>pro_score (bonus points)</t>
        </is>
      </c>
      <c r="E9" s="23" t="inlineStr">
        <is>
          <t>Independent</t>
        </is>
      </c>
    </row>
    <row r="10" ht="31.5" customHeight="1" s="19">
      <c r="A10" s="26" t="inlineStr">
        <is>
          <t>sodisc_bath</t>
        </is>
      </c>
      <c r="B10" s="26" t="inlineStr">
        <is>
          <t>❌ SUBSET ของ _bill</t>
        </is>
      </c>
      <c r="C10" s="26" t="inlineStr">
        <is>
          <t>ส่วน baht-fixed ภายใน sodisc_bill</t>
        </is>
      </c>
      <c r="D10" s="26" t="inlineStr">
        <is>
          <t>—</t>
        </is>
      </c>
      <c r="E10" s="26" t="inlineStr">
        <is>
          <t>⚠️ ห้ามรวมเป็น channel — double-count!</t>
        </is>
      </c>
    </row>
    <row r="12" ht="14.15" customHeight="1" s="19">
      <c r="A12" s="31" t="inlineStr">
        <is>
          <t>💡 Allocate ลง line (proportional by solineamt)</t>
        </is>
      </c>
    </row>
    <row r="13" ht="109.5" customHeight="1" s="19">
      <c r="A13" s="32" t="inlineStr">
        <is>
          <t>SELECT bld.sono, bld.iprod, bld.solineamt,
       blh.sodisc AS bill_disc,
       ROUND(blh.sodisc * bld.solineamt / SUM(bld.solineamt) OVER (PARTITION BY bld.sono), 2) AS line_disc_share,
       ROUND(bld.solineamt - blh.sodisc * bld.solineamt / SUM(bld.solineamt) OVER (PARTITION BY bld.sono), 2) AS line_net_after_disc
FROM `data-lake`.bld_acc_lake bld
JOIN MYPOS2018_CENTER.blh_acc blh ON blh.sono = bld.sono
WHERE bld.solinetype NOT IN ('C','R') AND blh.sodisc &gt; 0;</t>
        </is>
      </c>
    </row>
    <row r="15">
      <c r="A15" s="33" t="inlineStr">
        <is>
          <t>⚠️ UPDATE 2026-06-17: fact_sales.net_sales_amt หักส่วนลดครบแล้วทั้ง 2 ชั้น (sopricdisc + prorated_discount) — ไม่ต้อง allocate เพิ่ม</t>
        </is>
      </c>
    </row>
    <row r="16">
      <c r="A16" t="inlineStr">
        <is>
          <t>Verified: solineamt − prorated_discount = net_sales_amt (diff = 0, 100% match)</t>
        </is>
      </c>
    </row>
    <row r="17">
      <c r="A17" t="inlineStr">
        <is>
          <t>Verified: soqty × (sopricunit − sopricdisc) = solineamt (diff = 0, 100% match)</t>
        </is>
      </c>
    </row>
  </sheetData>
  <mergeCells count="4">
    <mergeCell ref="A2:E2"/>
    <mergeCell ref="A1:E1"/>
    <mergeCell ref="A12:E12"/>
    <mergeCell ref="A13:E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18" min="1" max="1"/>
    <col width="18" customWidth="1" style="18" min="2" max="2"/>
    <col width="14" customWidth="1" style="18" min="3" max="7"/>
  </cols>
  <sheetData>
    <row r="1" ht="17.15" customHeight="1" s="19">
      <c r="A1" s="20" t="inlineStr">
        <is>
          <t>GP / GP% Live Calculator — เปลี่ยน input ฟ้าได้</t>
        </is>
      </c>
    </row>
    <row r="2"/>
    <row r="3" ht="14.15" customHeight="1" s="19">
      <c r="A3" s="31" t="inlineStr">
        <is>
          <t>Input — เปลี่ยนตัวเลขฟ้าเพื่อทดสอบ</t>
        </is>
      </c>
    </row>
    <row r="4" ht="15" customHeight="1" s="19">
      <c r="A4" s="34" t="inlineStr">
        <is>
          <t>Bill ID (sono)</t>
        </is>
      </c>
      <c r="B4" s="35" t="inlineStr">
        <is>
          <t>BL0581-260601-0029</t>
        </is>
      </c>
    </row>
    <row r="5" ht="15" customHeight="1" s="19">
      <c r="A5" s="34" t="inlineStr">
        <is>
          <t>Line: solineamt</t>
        </is>
      </c>
      <c r="B5" s="36" t="n">
        <v>1000</v>
      </c>
    </row>
    <row r="6" ht="15" customHeight="1" s="19">
      <c r="A6" s="34" t="inlineStr">
        <is>
          <t>Line: soqty</t>
        </is>
      </c>
      <c r="B6" s="36" t="n">
        <v>5</v>
      </c>
    </row>
    <row r="7" ht="15" customHeight="1" s="19">
      <c r="A7" s="34" t="inlineStr">
        <is>
          <t>Line: sopricunit</t>
        </is>
      </c>
      <c r="B7" s="36" t="n">
        <v>200</v>
      </c>
    </row>
    <row r="8" ht="15" customHeight="1" s="19">
      <c r="A8" s="34" t="inlineStr">
        <is>
          <t>Line: total_cost (line)</t>
        </is>
      </c>
      <c r="B8" s="36" t="n">
        <v>650</v>
      </c>
    </row>
    <row r="9" ht="15" customHeight="1" s="19">
      <c r="A9" s="34" t="inlineStr">
        <is>
          <t>Bill: sodisc (total)</t>
        </is>
      </c>
      <c r="B9" s="36" t="n">
        <v>50</v>
      </c>
    </row>
    <row r="10" ht="15" customHeight="1" s="19">
      <c r="A10" s="34" t="inlineStr">
        <is>
          <t>Bill: sum of solineamt</t>
        </is>
      </c>
      <c r="B10" s="36" t="n">
        <v>1500</v>
      </c>
    </row>
    <row r="11"/>
    <row r="12" ht="15" customHeight="1" s="19">
      <c r="A12" s="31" t="inlineStr">
        <is>
          <t>Output — auto-calculated</t>
        </is>
      </c>
    </row>
    <row r="13" ht="15" customHeight="1" s="19">
      <c r="A13" s="34" t="inlineStr">
        <is>
          <t>Line gross sales</t>
        </is>
      </c>
      <c r="B13" s="37">
        <f>B5</f>
        <v/>
      </c>
    </row>
    <row r="14" ht="15" customHeight="1" s="19">
      <c r="A14" s="34" t="inlineStr">
        <is>
          <t>Allocated bill discount</t>
        </is>
      </c>
      <c r="B14" s="37">
        <f>ROUND(B9*B5/B10,2)</f>
        <v/>
      </c>
    </row>
    <row r="15" ht="15" customHeight="1" s="19">
      <c r="A15" s="34" t="inlineStr">
        <is>
          <t>Line net sales (after disc)</t>
        </is>
      </c>
      <c r="B15" s="37">
        <f>B5-ROUND(B9*B5/B10,2)</f>
        <v/>
      </c>
    </row>
    <row r="16" ht="15" customHeight="1" s="19">
      <c r="A16" s="34" t="inlineStr">
        <is>
          <t>Line cost</t>
        </is>
      </c>
      <c r="B16" s="37">
        <f>B8</f>
        <v/>
      </c>
    </row>
    <row r="17" ht="15" customHeight="1" s="19">
      <c r="A17" s="34" t="inlineStr">
        <is>
          <t>GP Amount</t>
        </is>
      </c>
      <c r="B17" s="37">
        <f>B5-ROUND(B9*B5/B10,2)-B8</f>
        <v/>
      </c>
    </row>
    <row r="18" ht="15" customHeight="1" s="19">
      <c r="A18" s="34" t="inlineStr">
        <is>
          <t>GP %</t>
        </is>
      </c>
      <c r="B18" s="38">
        <f>IFERROR((B5-ROUND(B9*B5/B10,2)-B8)/(B5-ROUND(B9*B5/B10,2)),0)</f>
        <v/>
      </c>
    </row>
    <row r="19" ht="15" customHeight="1" s="19">
      <c r="A19" s="34" t="inlineStr">
        <is>
          <t>Ticket avg (line/qty)</t>
        </is>
      </c>
      <c r="B19" s="37">
        <f>IFERROR(B5/B6,0)</f>
        <v/>
      </c>
    </row>
    <row r="20" ht="15" customHeight="1" s="19">
      <c r="A20" s="34" t="inlineStr">
        <is>
          <t>Effective unit price</t>
        </is>
      </c>
      <c r="B20" s="37">
        <f>IFERROR((B5-ROUND(B9*B5/B10,2))/B6,0)</f>
        <v/>
      </c>
    </row>
    <row r="21"/>
    <row r="22" ht="15" customHeight="1" s="19">
      <c r="A22" s="31" t="inlineStr">
        <is>
          <t>Notes</t>
        </is>
      </c>
    </row>
    <row r="23" ht="12.65" customHeight="1" s="19">
      <c r="A23" s="39" t="inlineStr">
        <is>
          <t>• Blue text = inputs (เปลี่ยนได้)</t>
        </is>
      </c>
    </row>
    <row r="24" ht="12.65" customHeight="1" s="19">
      <c r="A24" s="39" t="inlineStr">
        <is>
          <t>• Black text = formulas (อย่าแก้)</t>
        </is>
      </c>
    </row>
    <row r="25" ht="12.65" customHeight="1" s="19">
      <c r="A25" s="39" t="inlineStr">
        <is>
          <t>• "Allocated bill discount" = สัดส่วนของ sodisc ที่จัดสรรลง line นี้ตาม solineamt</t>
        </is>
      </c>
    </row>
    <row r="26" ht="12.65" customHeight="1" s="19">
      <c r="A26" s="40" t="inlineStr">
        <is>
          <t>• ✅ GP formula = net_sales_amt − total_cost (ถูกต้อง — net_sales_amt หัก disc ครบ 2 ชั้นแล้ว)</t>
        </is>
      </c>
    </row>
    <row r="27" ht="12.65" customHeight="1" s="19">
      <c r="A27" s="41" t="inlineStr">
        <is>
          <t>• ❌ ไม่จำเป็น — net_sales_amt หัก prorated_discount แล้ว (verified 2026-06-17)</t>
        </is>
      </c>
    </row>
    <row r="28" ht="12.65" customHeight="1" s="19">
      <c r="A28" s="39" t="inlineStr">
        <is>
          <t>• ถ้าต้องการ chain-wide aggregate — sum line-level allocated_disc แทน sum sodisc โดยตรง</t>
        </is>
      </c>
    </row>
  </sheetData>
  <mergeCells count="10">
    <mergeCell ref="A1:G1"/>
    <mergeCell ref="A27:G27"/>
    <mergeCell ref="A3:G3"/>
    <mergeCell ref="A22:G22"/>
    <mergeCell ref="A12:G12"/>
    <mergeCell ref="A26:G26"/>
    <mergeCell ref="A24:G24"/>
    <mergeCell ref="A25:G25"/>
    <mergeCell ref="A28:G28"/>
    <mergeCell ref="A23:G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8" min="1" max="1"/>
    <col width="70" customWidth="1" style="18" min="2" max="2"/>
    <col width="45" customWidth="1" style="18" min="3" max="3"/>
  </cols>
  <sheetData>
    <row r="1" ht="17.15" customHeight="1" s="19">
      <c r="A1" s="20" t="inlineStr">
        <is>
          <t>Power BI DAX Measures — Copy &amp; paste ใส่ใน Modeling → New Measure</t>
        </is>
      </c>
    </row>
    <row r="2" ht="12.65" customHeight="1" s="19">
      <c r="A2" s="42" t="inlineStr">
        <is>
          <t>⚠️ ทุก measure ต้องสร้างทีละตัว — อย่า paste ทั้งหมดลง measure ตัวเดียว</t>
        </is>
      </c>
    </row>
    <row r="4" ht="15" customHeight="1" s="19">
      <c r="A4" s="22" t="inlineStr">
        <is>
          <t>Measure name</t>
        </is>
      </c>
      <c r="B4" s="22" t="inlineStr">
        <is>
          <t>DAX code</t>
        </is>
      </c>
      <c r="C4" s="22" t="inlineStr">
        <is>
          <t>Note</t>
        </is>
      </c>
    </row>
    <row r="5" ht="30" customHeight="1" s="19">
      <c r="A5" s="23" t="inlineStr">
        <is>
          <t>Total Sales</t>
        </is>
      </c>
      <c r="B5" s="43" t="inlineStr">
        <is>
          <t>Total Sales = SUM('bld_acc'[solineamt])</t>
        </is>
      </c>
      <c r="C5" s="23" t="inlineStr">
        <is>
          <t>Sum ยอดขาย gross ทุก line</t>
        </is>
      </c>
    </row>
    <row r="6" ht="30" customHeight="1" s="19">
      <c r="A6" s="23" t="inlineStr">
        <is>
          <t>Total Qty</t>
        </is>
      </c>
      <c r="B6" s="43" t="inlineStr">
        <is>
          <t>Total Qty = SUM('bld_acc'[soqty])</t>
        </is>
      </c>
      <c r="C6" s="23" t="inlineStr">
        <is>
          <t>Sum จำนวนชิ้นรวม</t>
        </is>
      </c>
    </row>
    <row r="7" ht="30" customHeight="1" s="19">
      <c r="A7" s="23" t="inlineStr">
        <is>
          <t>Total Disc</t>
        </is>
      </c>
      <c r="B7" s="43" t="inlineStr">
        <is>
          <t>Total Disc = SUM('blh_acc'[sodisc])</t>
        </is>
      </c>
      <c r="C7" s="23" t="inlineStr">
        <is>
          <t>Canonical total discount (4-channel rollup verified 100%)</t>
        </is>
      </c>
    </row>
    <row r="8" ht="30" customHeight="1" s="19">
      <c r="A8" s="23" t="inlineStr">
        <is>
          <t>Disc by Bill</t>
        </is>
      </c>
      <c r="B8" s="43" t="inlineStr">
        <is>
          <t>Disc by Bill = SUM('blh_acc'[sodisc_bill])</t>
        </is>
      </c>
      <c r="C8" s="23" t="inlineStr">
        <is>
          <t>Channel: bill-level discount</t>
        </is>
      </c>
    </row>
    <row r="9" ht="30" customHeight="1" s="19">
      <c r="A9" s="23" t="inlineStr">
        <is>
          <t>Disc by Coupon</t>
        </is>
      </c>
      <c r="B9" s="43" t="inlineStr">
        <is>
          <t>Disc by Coupon = SUM('blh_acc'[sodisc_coupon])</t>
        </is>
      </c>
      <c r="C9" s="23" t="inlineStr">
        <is>
          <t>Channel: coupon</t>
        </is>
      </c>
    </row>
    <row r="10" ht="30" customHeight="1" s="19">
      <c r="A10" s="23" t="inlineStr">
        <is>
          <t>Disc by Perc</t>
        </is>
      </c>
      <c r="B10" s="43" t="inlineStr">
        <is>
          <t>Disc by Perc = SUM('blh_acc'[sodisc_perc])</t>
        </is>
      </c>
      <c r="C10" s="23" t="inlineStr">
        <is>
          <t>Channel: percent</t>
        </is>
      </c>
    </row>
    <row r="11" ht="30" customHeight="1" s="19">
      <c r="A11" s="23" t="inlineStr">
        <is>
          <t>Disc by Score</t>
        </is>
      </c>
      <c r="B11" s="43" t="inlineStr">
        <is>
          <t>Disc by Score = SUM('blh_acc'[sodisc_score])</t>
        </is>
      </c>
      <c r="C11" s="23" t="inlineStr">
        <is>
          <t>Channel: loyalty score</t>
        </is>
      </c>
    </row>
    <row r="12" ht="49.5" customHeight="1" s="19">
      <c r="A12" s="23" t="inlineStr">
        <is>
          <t>Total Cost</t>
        </is>
      </c>
      <c r="B12" s="43" t="inlineStr">
        <is>
          <t>Total Cost = SUM('fact_sales'[total_cost])
-- หรือถ้าใช้ bld_acc + item_cost จะต้อง JOIN</t>
        </is>
      </c>
      <c r="C12" s="23" t="inlineStr">
        <is>
          <t>Standard cost source</t>
        </is>
      </c>
    </row>
    <row r="13" ht="109.5" customHeight="1" s="19">
      <c r="A13" s="23" t="inlineStr">
        <is>
          <t>Line Disc Share</t>
        </is>
      </c>
      <c r="B13" s="43" t="inlineStr">
        <is>
          <t>Line Disc Share = 
VAR LineAmt = SUM('bld_acc'[solineamt])
VAR BillAmt = 
    CALCULATE(
        SUM('bld_acc'[solineamt]),
        ALLEXCEPT('bld_acc', 'bld_acc'[sono])
    )
VAR BillDisc = RELATED('blh_acc'[sodisc])
RETURN DIVIDE(LineAmt, BillAmt) * BillDisc</t>
        </is>
      </c>
      <c r="C13" s="23" t="inlineStr">
        <is>
          <t>Allocate bill-level sodisc ลง line ตาม solineamt</t>
        </is>
      </c>
    </row>
    <row r="14" ht="30" customHeight="1" s="19">
      <c r="A14" s="23" t="inlineStr">
        <is>
          <t>Net Sales</t>
        </is>
      </c>
      <c r="B14" s="43" t="inlineStr">
        <is>
          <t>Net Sales = [Total Sales] - [Total Disc]</t>
        </is>
      </c>
      <c r="C14" s="23" t="inlineStr">
        <is>
          <t>ยอดขายสุทธิหลังหัก discount (chain-wide level)</t>
        </is>
      </c>
    </row>
    <row r="15" ht="30" customHeight="1" s="19">
      <c r="A15" s="23" t="inlineStr">
        <is>
          <t>GP Amount</t>
        </is>
      </c>
      <c r="B15" s="43" t="inlineStr">
        <is>
          <t>GP Amount = [Net Sales] - [Total Cost]</t>
        </is>
      </c>
      <c r="C15" s="23" t="inlineStr">
        <is>
          <t>Gross Profit (current dashboard formula)</t>
        </is>
      </c>
    </row>
    <row r="16" ht="30" customHeight="1" s="19">
      <c r="A16" s="23" t="inlineStr">
        <is>
          <t>GP %</t>
        </is>
      </c>
      <c r="B16" s="43" t="inlineStr">
        <is>
          <t>GP % = DIVIDE([GP Amount], [Net Sales])</t>
        </is>
      </c>
      <c r="C16" s="23" t="inlineStr">
        <is>
          <t>Format: 0.0%</t>
        </is>
      </c>
    </row>
    <row r="17" ht="30" customHeight="1" s="19">
      <c r="A17" s="23" t="inlineStr">
        <is>
          <t>GP per SKU</t>
        </is>
      </c>
      <c r="B17" s="43" t="inlineStr">
        <is>
          <t>GpSku = [Total Sales] - [Total Cost] - [Line Disc Share]</t>
        </is>
      </c>
      <c r="C17" s="23" t="inlineStr">
        <is>
          <t>GP allocated ต่อ SKU/iprod (ใช้ใน table visual filter iprod)</t>
        </is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8" customWidth="1" style="18" min="1" max="1"/>
    <col width="95" customWidth="1" style="18" min="2" max="2"/>
  </cols>
  <sheetData>
    <row r="1" ht="17.35" customHeight="1" s="19">
      <c r="A1" s="20" t="inlineStr">
        <is>
          <t>SQL Query Patterns — ready to run</t>
        </is>
      </c>
    </row>
    <row r="3" ht="15" customHeight="1" s="19">
      <c r="A3" s="22" t="inlineStr">
        <is>
          <t>Pattern</t>
        </is>
      </c>
      <c r="B3" s="22" t="inlineStr">
        <is>
          <t>SQL</t>
        </is>
      </c>
    </row>
    <row r="4" ht="126" customHeight="1" s="19">
      <c r="A4" s="23" t="inlineStr">
        <is>
          <t>Daily sales per store (current pattern)</t>
        </is>
      </c>
      <c r="B4" s="43" t="inlineStr">
        <is>
          <t>SELECT sotowhs, COUNT(DISTINCT sono) AS bills,
       SUM(net_sales_amt) AS net_sales,
       SUM(total_cost) AS total_cost,
       SUM(net_sales_amt) - SUM(total_cost) AS gp_amount
FROM data-service.fact_sales
WHERE solinetype NOT IN ('C','R')
  AND DATE(sodate) = CURDATE() - INTERVAL 1 DAY
GROUP BY sotowhs;</t>
        </is>
      </c>
    </row>
    <row r="5" ht="126" customHeight="1" s="19">
      <c r="A5" s="23" t="inlineStr">
        <is>
          <t>Sales + Discount (with allocation)</t>
        </is>
      </c>
      <c r="B5" s="43" t="inlineStr">
        <is>
          <t>SELECT bld.sono, bld.iprod, bld.solineamt,
       blh.sodisc AS bill_disc,
       ROUND(blh.sodisc * bld.solineamt / SUM(bld.solineamt) OVER (PARTITION BY bld.sono), 2) AS line_disc,
       bld.solineamt - ROUND(blh.sodisc * bld.solineamt / SUM(bld.solineamt) OVER (PARTITION BY bld.sono), 2) AS net
FROM `data-lake`.bld_acc_lake bld
JOIN MYPOS2018_CENTER.blh_acc blh ON blh.sono = bld.sono
WHERE bld.solinetype NOT IN ('C','R')
  AND DATE(blh.sodate) = '2026-06-01';</t>
        </is>
      </c>
    </row>
    <row r="6" ht="180" customHeight="1" s="19">
      <c r="A6" s="23" t="inlineStr">
        <is>
          <t>GP per SKU (chain-wide)</t>
        </is>
      </c>
      <c r="B6" s="43" t="inlineStr">
        <is>
          <t>SELECT bld.iprod,
       SUM(bld.solineamt) AS gross_sales,
       SUM(bld.solineamt) - SUM(
         ROUND(blh.sodisc * bld.solineamt / SUM(bld.solineamt) OVER (PARTITION BY bld.sono), 2)
       ) AS net_sales,
       SUM(fs.total_cost) AS total_cost
FROM `data-lake`.bld_acc_lake bld
JOIN MYPOS2018_CENTER.blh_acc blh ON blh.sono = bld.sono
JOIN data-service.fact_sales fs ON fs.sono = bld.sono AND fs.iprod = bld.iprod
WHERE bld.solinetype NOT IN ('C','R')
GROUP BY bld.iprod;</t>
        </is>
      </c>
    </row>
    <row r="7" ht="162" customHeight="1" s="19">
      <c r="A7" s="23" t="inlineStr">
        <is>
          <t>Discount breakdown per day</t>
        </is>
      </c>
      <c r="B7" s="43" t="inlineStr">
        <is>
          <t>SELECT DATE(sodate) AS dy,
       SUM(sodisc) AS total_disc,
       SUM(sodisc_bill) AS by_bill,
       SUM(sodisc_coupon) AS by_coupon,
       SUM(sodisc_perc) AS by_perc,
       SUM(sodisc_score) AS by_score
FROM MYPOS2018_CENTER.blh_acc
WHERE sodate &gt;= '2026-06-01'
GROUP BY dy
ORDER BY dy;</t>
        </is>
      </c>
    </row>
    <row r="8" ht="79.5" customHeight="1" s="19">
      <c r="A8" s="23" t="inlineStr">
        <is>
          <t>Verify sodisc rollup (100% expected)</t>
        </is>
      </c>
      <c r="B8" s="43" t="inlineStr">
        <is>
          <t>SELECT
    SUM(ABS(sodisc - (sodisc_bill + sodisc_coupon + sodisc_perc + sodisc_score)) &lt; 0.02) AS match_4col,
    COUNT(*) AS total
FROM MYPOS2018_CENTER.blh_acc
WHERE sodisc &gt; 0 AND sodate = CURDATE() - INTERVAL 1 DAY;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18" min="1" max="1"/>
    <col width="70" customWidth="1" style="18" min="2" max="2"/>
    <col width="50" customWidth="1" style="18" min="3" max="3"/>
  </cols>
  <sheetData>
    <row r="1" ht="17.35" customHeight="1" s="19">
      <c r="A1" s="20" t="inlineStr">
        <is>
          <t>Reference Changelog</t>
        </is>
      </c>
    </row>
    <row r="3" ht="15" customHeight="1" s="19">
      <c r="A3" s="22" t="inlineStr">
        <is>
          <t>Date</t>
        </is>
      </c>
      <c r="B3" s="22" t="inlineStr">
        <is>
          <t>Change</t>
        </is>
      </c>
      <c r="C3" s="22" t="inlineStr">
        <is>
          <t>Source</t>
        </is>
      </c>
    </row>
    <row r="4" ht="15" customHeight="1" s="19">
      <c r="A4" s="23" t="inlineStr">
        <is>
          <t>2026-06-10</t>
        </is>
      </c>
      <c r="B4" s="23" t="inlineStr">
        <is>
          <t>Initial reference workbook created</t>
        </is>
      </c>
      <c r="C4" s="23" t="inlineStr">
        <is>
          <t>Verified via SQL probes (1722/1722 match)</t>
        </is>
      </c>
    </row>
    <row r="5" ht="15" customHeight="1" s="19">
      <c r="A5" s="23" t="inlineStr">
        <is>
          <t>2026-06-10</t>
        </is>
      </c>
      <c r="B5" s="23" t="inlineStr">
        <is>
          <t>Verified: sodisc = sodisc_bill + sodisc_coupon + sodisc_perc + sodisc_score</t>
        </is>
      </c>
      <c r="C5" s="23" t="inlineStr">
        <is>
          <t>100% match — 1722/1722</t>
        </is>
      </c>
    </row>
    <row r="6" ht="15" customHeight="1" s="19">
      <c r="A6" s="23" t="inlineStr">
        <is>
          <t>2026-06-10</t>
        </is>
      </c>
      <c r="B6" s="23" t="inlineStr">
        <is>
          <t>Found: sodisc_bath is SUBSET of sodisc_bill (do NOT sum)</t>
        </is>
      </c>
      <c r="C6" s="23" t="inlineStr">
        <is>
          <t>Sample row verification</t>
        </is>
      </c>
    </row>
    <row r="7" ht="15" customHeight="1" s="19">
      <c r="A7" s="23" t="inlineStr">
        <is>
          <t>2026-06-10</t>
        </is>
      </c>
      <c r="B7" s="23" t="inlineStr">
        <is>
          <t>Confirmed: no per-line discount in this MyPOS — all bill-level</t>
        </is>
      </c>
      <c r="C7" s="23" t="inlineStr">
        <is>
          <t>information_schema.COLUMNS scan</t>
        </is>
      </c>
    </row>
    <row r="8" ht="15" customHeight="1" s="19">
      <c r="A8" s="23" t="inlineStr">
        <is>
          <t>2026-06-10</t>
        </is>
      </c>
      <c r="B8" s="23" t="inlineStr">
        <is>
          <t>sopricunit = unit price column (decimal(8,2)) in bld_acc_lake</t>
        </is>
      </c>
      <c r="C8" s="23" t="inlineStr">
        <is>
          <t>SHOW COLUMNS result</t>
        </is>
      </c>
    </row>
    <row r="9">
      <c r="A9" t="inlineStr">
        <is>
          <t>2026-06-17</t>
        </is>
      </c>
      <c r="B9" t="inlineStr">
        <is>
          <t>VERIFIED: net_sales_amt = solineamt − prorated_discount (100% match). sopricdisc is per-unit discount. GP formula net_sales_amt − total_cost is CORRECT as-is.</t>
        </is>
      </c>
      <c r="C9" t="inlineStr">
        <is>
          <t>SQL probe: SUM check diff=0 for Jun 1-16 2026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2026-06-10T04:52:14Z</dcterms:created>
  <dcterms:modified xmlns:dcterms="http://purl.org/dc/terms/" xmlns:xsi="http://www.w3.org/2001/XMLSchema-instance" xsi:type="dcterms:W3CDTF">2026-06-17T03:59:23Z</dcterms:modified>
  <cp:revision>0</cp:revision>
</cp:coreProperties>
</file>